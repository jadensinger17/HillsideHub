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382" documentId="11_E60897F41BE170836B02CE998F75CCDC64E183C8" xr6:coauthVersionLast="47" xr6:coauthVersionMax="47" xr10:uidLastSave="{3CFAA24E-9CAB-44B2-9B18-5BE64AE6E43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2" i="1"/>
  <c r="G2" i="1"/>
  <c r="E2" i="1"/>
  <c r="I2" i="1" s="1"/>
  <c r="L2" i="1" s="1"/>
  <c r="L3" i="1" s="1"/>
</calcChain>
</file>

<file path=xl/sharedStrings.xml><?xml version="1.0" encoding="utf-8"?>
<sst xmlns="http://schemas.openxmlformats.org/spreadsheetml/2006/main" count="226" uniqueCount="124">
  <si>
    <t>#Notes</t>
  </si>
  <si>
    <t>Accepted/Interviews</t>
  </si>
  <si>
    <t>Maybe</t>
  </si>
  <si>
    <t>No/Class</t>
  </si>
  <si>
    <t>Hard No</t>
  </si>
  <si>
    <t>Total Interviews</t>
  </si>
  <si>
    <t>Total Applicants</t>
  </si>
  <si>
    <t>Name:</t>
  </si>
  <si>
    <t>Info Sessions Attended</t>
  </si>
  <si>
    <t>Aaron Rouse</t>
  </si>
  <si>
    <t>No</t>
  </si>
  <si>
    <t>Conversion %</t>
  </si>
  <si>
    <t>Aaryan Gupta</t>
  </si>
  <si>
    <t>YES</t>
  </si>
  <si>
    <t>Adithya Nataraj</t>
  </si>
  <si>
    <t>Aditya Nair</t>
  </si>
  <si>
    <t>NO</t>
  </si>
  <si>
    <t>Adrian Nottelmann</t>
  </si>
  <si>
    <t>Ahmed Osman</t>
  </si>
  <si>
    <t>Albi Bylyku</t>
  </si>
  <si>
    <t>Alexander Greenberg</t>
  </si>
  <si>
    <t>Almari Castillo</t>
  </si>
  <si>
    <t>Yes</t>
  </si>
  <si>
    <t>Amir Alston</t>
  </si>
  <si>
    <t>Andrew Vaill</t>
  </si>
  <si>
    <t>Andre LaRochelle</t>
  </si>
  <si>
    <t>Arianna Kedersha</t>
  </si>
  <si>
    <t>Arfa Begum</t>
  </si>
  <si>
    <t>Arya Patel</t>
  </si>
  <si>
    <t>Benjamin Anderson</t>
  </si>
  <si>
    <t>Bhayesha Raj Chugh</t>
  </si>
  <si>
    <t>Brandon Chan</t>
  </si>
  <si>
    <t>Brenden Boyer</t>
  </si>
  <si>
    <t>Caleb Awuah</t>
  </si>
  <si>
    <t>Caroline Bernacki</t>
  </si>
  <si>
    <t>Chloe Morales</t>
  </si>
  <si>
    <t>Clive Leung</t>
  </si>
  <si>
    <t>Cole Ostrosky</t>
  </si>
  <si>
    <t>Colin McGann</t>
  </si>
  <si>
    <t>Collin Murray</t>
  </si>
  <si>
    <t>Cristian Jimenez</t>
  </si>
  <si>
    <t>Dev Gorasiya</t>
  </si>
  <si>
    <t>Egor Vasilyev</t>
  </si>
  <si>
    <t>Ethan Masoperh</t>
  </si>
  <si>
    <t>Evan Espino</t>
  </si>
  <si>
    <t>Evan Michael Morrow</t>
  </si>
  <si>
    <t>Faryal Akbar</t>
  </si>
  <si>
    <t>Filip Ciganik</t>
  </si>
  <si>
    <t>Giacomo Vinces</t>
  </si>
  <si>
    <t>Grejs Shelcaj</t>
  </si>
  <si>
    <t>Hannah Krause</t>
  </si>
  <si>
    <t>Hannah Patz</t>
  </si>
  <si>
    <t>Hyeongyu (David) Kang</t>
  </si>
  <si>
    <t>Ikechukwu Ugwa</t>
  </si>
  <si>
    <t>Israela Anane</t>
  </si>
  <si>
    <t>Jackson Cafarella</t>
  </si>
  <si>
    <t>Class</t>
  </si>
  <si>
    <t>Jaime Lugo</t>
  </si>
  <si>
    <t>Jaden King</t>
  </si>
  <si>
    <t>Jake Miller</t>
  </si>
  <si>
    <t>Jeffrey Ortiz</t>
  </si>
  <si>
    <t>Jessica Ndjomou</t>
  </si>
  <si>
    <t>Jiaying Lyu</t>
  </si>
  <si>
    <t>Jocelyn Pumayugra</t>
  </si>
  <si>
    <t>Julia Tkachuk-Kyrychenko</t>
  </si>
  <si>
    <t>Justin A. Gomes</t>
  </si>
  <si>
    <t>Kaelyn Horn</t>
  </si>
  <si>
    <t>Kaia Wotzak</t>
  </si>
  <si>
    <t>Kayla Le</t>
  </si>
  <si>
    <t>Kiril Kovalenko</t>
  </si>
  <si>
    <t>Kishan Desai</t>
  </si>
  <si>
    <t>Kuba Gaska</t>
  </si>
  <si>
    <t>Kunal Ramchandani</t>
  </si>
  <si>
    <t>Lily Bartone</t>
  </si>
  <si>
    <t>Luka Vidacak</t>
  </si>
  <si>
    <t>Lucas Sosnow</t>
  </si>
  <si>
    <t>Malachi Evans</t>
  </si>
  <si>
    <t>Malin Kimani Gitau</t>
  </si>
  <si>
    <t>Massimo Costa</t>
  </si>
  <si>
    <t>Matteo Festa</t>
  </si>
  <si>
    <t>Matthew Spector</t>
  </si>
  <si>
    <t>Michael Del Sesto</t>
  </si>
  <si>
    <t>Mohammed Nur</t>
  </si>
  <si>
    <t>Natalie Ross</t>
  </si>
  <si>
    <t>Nestor Castillo Jr.</t>
  </si>
  <si>
    <t>Nicholas Battaglia</t>
  </si>
  <si>
    <t>Nick Taipe</t>
  </si>
  <si>
    <t>Nikita Panwar</t>
  </si>
  <si>
    <t>14 no</t>
  </si>
  <si>
    <t>4 yes</t>
  </si>
  <si>
    <t xml:space="preserve"> 3 maybe</t>
  </si>
  <si>
    <t>Nicolas Sconziano</t>
  </si>
  <si>
    <t>Nnadozie Okasi</t>
  </si>
  <si>
    <t>Nya Cohen</t>
  </si>
  <si>
    <t>Oliver Kaplan</t>
  </si>
  <si>
    <t>Omar Omar</t>
  </si>
  <si>
    <t>Patryk Zielinski</t>
  </si>
  <si>
    <t>Pristine Ruhuma</t>
  </si>
  <si>
    <t>Rahul Perumal</t>
  </si>
  <si>
    <t>Ranganathan Kidambi</t>
  </si>
  <si>
    <t>Rayden Jones-Miller</t>
  </si>
  <si>
    <t>Ria Verma</t>
  </si>
  <si>
    <t>Rige Grajcevci</t>
  </si>
  <si>
    <t>Riley Ramirez</t>
  </si>
  <si>
    <t>Roan Fothergill</t>
  </si>
  <si>
    <t>Sahil Sheik</t>
  </si>
  <si>
    <t>Sara Shawahna</t>
  </si>
  <si>
    <t>Sebastian Ramos</t>
  </si>
  <si>
    <t>Sebastian Wroblewski</t>
  </si>
  <si>
    <t>Shubham Chandra</t>
  </si>
  <si>
    <t>Stephen Sentementes</t>
  </si>
  <si>
    <t>Theodore Mitchell</t>
  </si>
  <si>
    <t>Thomson Tran</t>
  </si>
  <si>
    <t>Tristan Gorman</t>
  </si>
  <si>
    <t>Vedika Patel</t>
  </si>
  <si>
    <t>Vincent Ly</t>
  </si>
  <si>
    <t>Will Curry</t>
  </si>
  <si>
    <t>Zachary Harrison</t>
  </si>
  <si>
    <t>Zion Joseph</t>
  </si>
  <si>
    <t>Christian Kim</t>
  </si>
  <si>
    <t>Sean McGowan</t>
  </si>
  <si>
    <t>Antonio Juan Umali</t>
  </si>
  <si>
    <t>Kaid Algozy</t>
  </si>
  <si>
    <t xml:space="preserve">Liam Naughton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</si>
</sst>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49" fontId="0" fillId="0" borderId="1" xfId="0" applyNumberFormat="1" applyBorder="1"/>
    <xf numFmtId="0" fontId="0" fillId="2" borderId="0" xfId="0" applyFill="1"/>
    <xf numFmtId="0" fontId="0" fillId="3" borderId="1" xfId="0" applyFill="1" applyBorder="1"/>
    <xf numFmtId="0" fontId="0" fillId="3" borderId="3" xfId="0" applyFill="1" applyBorder="1"/>
    <xf numFmtId="0" fontId="0" fillId="4" borderId="1" xfId="0" applyFill="1" applyBorder="1"/>
    <xf numFmtId="10" fontId="0" fillId="4" borderId="1" xfId="0" applyNumberFormat="1" applyFill="1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3" borderId="2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8"/>
  <sheetViews>
    <sheetView tabSelected="1" topLeftCell="A56" workbookViewId="0">
      <selection activeCell="H77" sqref="H77"/>
    </sheetView>
  </sheetViews>
  <sheetFormatPr defaultRowHeight="15"/>
  <cols>
    <col min="1" max="1" width="8.5703125" customWidth="1"/>
    <col min="2" max="2" width="25.42578125" customWidth="1"/>
    <col min="3" max="3" width="20.42578125" customWidth="1"/>
    <col min="4" max="4" width="10.7109375" bestFit="1" customWidth="1"/>
    <col min="5" max="5" width="22.7109375" bestFit="1" customWidth="1"/>
    <col min="6" max="6" width="17.7109375" customWidth="1"/>
    <col min="7" max="7" width="13.140625" customWidth="1"/>
    <col min="8" max="8" width="18.140625" customWidth="1"/>
    <col min="9" max="9" width="21.85546875" customWidth="1"/>
    <col min="11" max="11" width="21.28515625" customWidth="1"/>
    <col min="12" max="12" width="19.28515625" customWidth="1"/>
  </cols>
  <sheetData>
    <row r="1" spans="2:12">
      <c r="C1" s="4" t="s">
        <v>0</v>
      </c>
      <c r="E1" s="6" t="s">
        <v>1</v>
      </c>
      <c r="F1" s="6" t="s">
        <v>2</v>
      </c>
      <c r="G1" s="6" t="s">
        <v>3</v>
      </c>
      <c r="H1" s="12" t="s">
        <v>4</v>
      </c>
      <c r="I1" s="12" t="s">
        <v>5</v>
      </c>
      <c r="K1" s="5" t="s">
        <v>6</v>
      </c>
      <c r="L1" s="7">
        <v>106</v>
      </c>
    </row>
    <row r="2" spans="2:12">
      <c r="B2" s="2" t="s">
        <v>7</v>
      </c>
      <c r="C2" s="2" t="s">
        <v>8</v>
      </c>
      <c r="E2" s="9">
        <f>COUNTIF(D:D,"Yes")</f>
        <v>42</v>
      </c>
      <c r="F2" s="10">
        <f>COUNTIF(D:D,"Maybe")</f>
        <v>10</v>
      </c>
      <c r="G2" s="11">
        <f>COUNTIF(D:D,"No/Class")</f>
        <v>13</v>
      </c>
      <c r="H2" s="13">
        <f>COUNTIF(D:D,"No")</f>
        <v>39</v>
      </c>
      <c r="I2" s="1">
        <f>E2+F2</f>
        <v>52</v>
      </c>
      <c r="K2" s="5" t="s">
        <v>5</v>
      </c>
      <c r="L2" s="7">
        <f>I2</f>
        <v>52</v>
      </c>
    </row>
    <row r="3" spans="2:12">
      <c r="B3" s="1" t="s">
        <v>9</v>
      </c>
      <c r="C3" s="1">
        <v>1</v>
      </c>
      <c r="D3" t="s">
        <v>10</v>
      </c>
      <c r="K3" s="5" t="s">
        <v>11</v>
      </c>
      <c r="L3" s="8">
        <f>(L2/L1)</f>
        <v>0.49056603773584906</v>
      </c>
    </row>
    <row r="4" spans="2:12">
      <c r="B4" s="1" t="s">
        <v>12</v>
      </c>
      <c r="C4" s="1">
        <v>2</v>
      </c>
      <c r="D4" t="s">
        <v>13</v>
      </c>
    </row>
    <row r="5" spans="2:12">
      <c r="B5" s="1" t="s">
        <v>14</v>
      </c>
      <c r="C5" s="1">
        <v>1</v>
      </c>
      <c r="D5" t="s">
        <v>13</v>
      </c>
    </row>
    <row r="6" spans="2:12">
      <c r="B6" s="1" t="s">
        <v>15</v>
      </c>
      <c r="C6" s="1">
        <v>0</v>
      </c>
      <c r="D6" t="s">
        <v>16</v>
      </c>
    </row>
    <row r="7" spans="2:12">
      <c r="B7" s="1" t="s">
        <v>17</v>
      </c>
      <c r="C7" s="1">
        <v>0</v>
      </c>
      <c r="D7" t="s">
        <v>16</v>
      </c>
    </row>
    <row r="8" spans="2:12">
      <c r="B8" s="1" t="s">
        <v>18</v>
      </c>
      <c r="C8" s="1">
        <v>4</v>
      </c>
      <c r="D8" t="s">
        <v>13</v>
      </c>
    </row>
    <row r="9" spans="2:12">
      <c r="B9" s="1" t="s">
        <v>19</v>
      </c>
      <c r="C9" s="1">
        <v>1</v>
      </c>
      <c r="D9" t="s">
        <v>2</v>
      </c>
    </row>
    <row r="10" spans="2:12">
      <c r="B10" s="1" t="s">
        <v>20</v>
      </c>
      <c r="C10" s="1">
        <v>0</v>
      </c>
      <c r="D10" t="s">
        <v>3</v>
      </c>
    </row>
    <row r="11" spans="2:12">
      <c r="B11" s="1" t="s">
        <v>21</v>
      </c>
      <c r="C11" s="1">
        <v>0</v>
      </c>
      <c r="D11" t="s">
        <v>22</v>
      </c>
    </row>
    <row r="12" spans="2:12">
      <c r="B12" s="1" t="s">
        <v>23</v>
      </c>
      <c r="C12" s="1">
        <v>0</v>
      </c>
      <c r="D12" t="s">
        <v>10</v>
      </c>
    </row>
    <row r="13" spans="2:12">
      <c r="B13" s="1" t="s">
        <v>24</v>
      </c>
      <c r="C13" s="1">
        <v>0</v>
      </c>
      <c r="D13" t="s">
        <v>10</v>
      </c>
    </row>
    <row r="14" spans="2:12">
      <c r="B14" s="1" t="s">
        <v>25</v>
      </c>
      <c r="C14" s="1">
        <v>4</v>
      </c>
      <c r="D14" t="s">
        <v>22</v>
      </c>
    </row>
    <row r="15" spans="2:12">
      <c r="B15" s="1" t="s">
        <v>26</v>
      </c>
      <c r="C15" s="1">
        <v>1</v>
      </c>
      <c r="D15" t="s">
        <v>3</v>
      </c>
    </row>
    <row r="16" spans="2:12">
      <c r="B16" s="1" t="s">
        <v>27</v>
      </c>
      <c r="C16" s="1">
        <v>0</v>
      </c>
      <c r="D16" t="s">
        <v>22</v>
      </c>
    </row>
    <row r="17" spans="2:4">
      <c r="B17" s="1" t="s">
        <v>28</v>
      </c>
      <c r="C17" s="1">
        <v>2</v>
      </c>
      <c r="D17" t="s">
        <v>22</v>
      </c>
    </row>
    <row r="18" spans="2:4">
      <c r="B18" s="1" t="s">
        <v>29</v>
      </c>
      <c r="C18" s="1">
        <v>1</v>
      </c>
      <c r="D18" t="s">
        <v>22</v>
      </c>
    </row>
    <row r="19" spans="2:4">
      <c r="B19" s="1" t="s">
        <v>30</v>
      </c>
      <c r="C19" s="1">
        <v>0</v>
      </c>
      <c r="D19" t="s">
        <v>10</v>
      </c>
    </row>
    <row r="20" spans="2:4">
      <c r="B20" s="1" t="s">
        <v>31</v>
      </c>
      <c r="C20" s="1">
        <v>0</v>
      </c>
      <c r="D20" t="s">
        <v>22</v>
      </c>
    </row>
    <row r="21" spans="2:4">
      <c r="B21" s="1" t="s">
        <v>32</v>
      </c>
      <c r="C21" s="1">
        <v>0</v>
      </c>
      <c r="D21" t="s">
        <v>10</v>
      </c>
    </row>
    <row r="22" spans="2:4">
      <c r="B22" s="1" t="s">
        <v>33</v>
      </c>
      <c r="C22" s="1">
        <v>4</v>
      </c>
      <c r="D22" t="s">
        <v>22</v>
      </c>
    </row>
    <row r="23" spans="2:4">
      <c r="B23" s="1" t="s">
        <v>34</v>
      </c>
      <c r="C23" s="1">
        <v>0</v>
      </c>
      <c r="D23" t="s">
        <v>2</v>
      </c>
    </row>
    <row r="24" spans="2:4">
      <c r="B24" s="1" t="s">
        <v>35</v>
      </c>
      <c r="C24" s="1">
        <v>0</v>
      </c>
      <c r="D24" t="s">
        <v>22</v>
      </c>
    </row>
    <row r="25" spans="2:4">
      <c r="B25" s="1" t="s">
        <v>36</v>
      </c>
      <c r="C25" s="1">
        <v>1</v>
      </c>
      <c r="D25" t="s">
        <v>22</v>
      </c>
    </row>
    <row r="26" spans="2:4">
      <c r="B26" s="1" t="s">
        <v>37</v>
      </c>
      <c r="C26" s="1">
        <v>1</v>
      </c>
      <c r="D26" t="s">
        <v>22</v>
      </c>
    </row>
    <row r="27" spans="2:4">
      <c r="B27" s="1" t="s">
        <v>38</v>
      </c>
      <c r="C27" s="1">
        <v>0</v>
      </c>
      <c r="D27" t="s">
        <v>22</v>
      </c>
    </row>
    <row r="28" spans="2:4">
      <c r="B28" s="1" t="s">
        <v>39</v>
      </c>
      <c r="C28" s="1">
        <v>2</v>
      </c>
      <c r="D28" t="s">
        <v>22</v>
      </c>
    </row>
    <row r="29" spans="2:4">
      <c r="B29" s="1" t="s">
        <v>40</v>
      </c>
      <c r="C29" s="1">
        <v>3</v>
      </c>
      <c r="D29" t="s">
        <v>22</v>
      </c>
    </row>
    <row r="30" spans="2:4">
      <c r="B30" s="1" t="s">
        <v>41</v>
      </c>
      <c r="C30" s="1">
        <v>1</v>
      </c>
      <c r="D30" t="s">
        <v>22</v>
      </c>
    </row>
    <row r="31" spans="2:4">
      <c r="B31" s="1" t="s">
        <v>42</v>
      </c>
      <c r="C31" s="1">
        <v>0</v>
      </c>
      <c r="D31" t="s">
        <v>22</v>
      </c>
    </row>
    <row r="32" spans="2:4">
      <c r="B32" s="1" t="s">
        <v>43</v>
      </c>
      <c r="C32" s="1">
        <v>0</v>
      </c>
      <c r="D32" t="s">
        <v>10</v>
      </c>
    </row>
    <row r="33" spans="2:4">
      <c r="B33" s="1" t="s">
        <v>44</v>
      </c>
      <c r="C33" s="1">
        <v>0</v>
      </c>
      <c r="D33" t="s">
        <v>10</v>
      </c>
    </row>
    <row r="34" spans="2:4">
      <c r="B34" s="1" t="s">
        <v>45</v>
      </c>
      <c r="C34" s="1">
        <v>0</v>
      </c>
      <c r="D34" t="s">
        <v>2</v>
      </c>
    </row>
    <row r="35" spans="2:4">
      <c r="B35" s="1" t="s">
        <v>46</v>
      </c>
      <c r="C35" s="1">
        <v>2</v>
      </c>
      <c r="D35" t="s">
        <v>22</v>
      </c>
    </row>
    <row r="36" spans="2:4">
      <c r="B36" s="1" t="s">
        <v>47</v>
      </c>
      <c r="C36" s="1">
        <v>0</v>
      </c>
      <c r="D36" t="s">
        <v>10</v>
      </c>
    </row>
    <row r="37" spans="2:4">
      <c r="B37" s="1" t="s">
        <v>48</v>
      </c>
      <c r="C37" s="1">
        <v>0</v>
      </c>
      <c r="D37" t="s">
        <v>10</v>
      </c>
    </row>
    <row r="38" spans="2:4">
      <c r="B38" s="1" t="s">
        <v>49</v>
      </c>
      <c r="C38" s="1">
        <v>0</v>
      </c>
      <c r="D38" t="s">
        <v>22</v>
      </c>
    </row>
    <row r="39" spans="2:4">
      <c r="B39" s="1" t="s">
        <v>50</v>
      </c>
      <c r="C39" s="1">
        <v>0</v>
      </c>
      <c r="D39" t="s">
        <v>10</v>
      </c>
    </row>
    <row r="40" spans="2:4">
      <c r="B40" s="1" t="s">
        <v>51</v>
      </c>
      <c r="C40" s="1">
        <v>0</v>
      </c>
      <c r="D40" t="s">
        <v>10</v>
      </c>
    </row>
    <row r="41" spans="2:4">
      <c r="B41" s="1" t="s">
        <v>52</v>
      </c>
      <c r="C41" s="1">
        <v>0</v>
      </c>
      <c r="D41" t="s">
        <v>22</v>
      </c>
    </row>
    <row r="42" spans="2:4">
      <c r="B42" s="1" t="s">
        <v>53</v>
      </c>
      <c r="C42" s="1">
        <v>3</v>
      </c>
      <c r="D42" t="s">
        <v>22</v>
      </c>
    </row>
    <row r="43" spans="2:4">
      <c r="B43" s="1" t="s">
        <v>54</v>
      </c>
      <c r="C43" s="1">
        <v>3</v>
      </c>
      <c r="D43" t="s">
        <v>3</v>
      </c>
    </row>
    <row r="44" spans="2:4">
      <c r="B44" s="1" t="s">
        <v>55</v>
      </c>
      <c r="C44" s="1">
        <v>1</v>
      </c>
      <c r="D44" t="s">
        <v>56</v>
      </c>
    </row>
    <row r="45" spans="2:4">
      <c r="B45" s="1" t="s">
        <v>57</v>
      </c>
      <c r="C45" s="1">
        <v>0</v>
      </c>
      <c r="D45" t="s">
        <v>10</v>
      </c>
    </row>
    <row r="46" spans="2:4">
      <c r="B46" s="1" t="s">
        <v>58</v>
      </c>
      <c r="C46" s="1">
        <v>2</v>
      </c>
      <c r="D46" t="s">
        <v>22</v>
      </c>
    </row>
    <row r="47" spans="2:4">
      <c r="B47" s="1" t="s">
        <v>59</v>
      </c>
      <c r="C47" s="1">
        <v>1</v>
      </c>
      <c r="D47" t="s">
        <v>2</v>
      </c>
    </row>
    <row r="48" spans="2:4">
      <c r="B48" s="1" t="s">
        <v>60</v>
      </c>
      <c r="C48" s="1">
        <v>1</v>
      </c>
      <c r="D48" t="s">
        <v>10</v>
      </c>
    </row>
    <row r="49" spans="2:4">
      <c r="B49" s="1" t="s">
        <v>61</v>
      </c>
      <c r="C49" s="1">
        <v>2</v>
      </c>
      <c r="D49" t="s">
        <v>3</v>
      </c>
    </row>
    <row r="50" spans="2:4">
      <c r="B50" s="1" t="s">
        <v>62</v>
      </c>
      <c r="C50" s="1">
        <v>0</v>
      </c>
      <c r="D50" t="s">
        <v>10</v>
      </c>
    </row>
    <row r="51" spans="2:4">
      <c r="B51" s="1" t="s">
        <v>63</v>
      </c>
      <c r="C51" s="1">
        <v>0</v>
      </c>
      <c r="D51" t="s">
        <v>10</v>
      </c>
    </row>
    <row r="52" spans="2:4">
      <c r="B52" s="1" t="s">
        <v>64</v>
      </c>
      <c r="C52" s="1">
        <v>1</v>
      </c>
      <c r="D52" t="s">
        <v>10</v>
      </c>
    </row>
    <row r="53" spans="2:4">
      <c r="B53" s="1" t="s">
        <v>65</v>
      </c>
      <c r="C53" s="1">
        <v>1</v>
      </c>
      <c r="D53" t="s">
        <v>2</v>
      </c>
    </row>
    <row r="54" spans="2:4">
      <c r="B54" s="1" t="s">
        <v>66</v>
      </c>
      <c r="C54" s="1">
        <v>0</v>
      </c>
      <c r="D54" t="s">
        <v>22</v>
      </c>
    </row>
    <row r="55" spans="2:4">
      <c r="B55" s="1" t="s">
        <v>67</v>
      </c>
      <c r="C55" s="1">
        <v>2</v>
      </c>
      <c r="D55" t="s">
        <v>22</v>
      </c>
    </row>
    <row r="56" spans="2:4">
      <c r="B56" s="1" t="s">
        <v>68</v>
      </c>
      <c r="C56" s="1">
        <v>1</v>
      </c>
      <c r="D56" t="s">
        <v>10</v>
      </c>
    </row>
    <row r="57" spans="2:4">
      <c r="B57" s="1" t="s">
        <v>69</v>
      </c>
      <c r="C57" s="1">
        <v>0</v>
      </c>
      <c r="D57" t="s">
        <v>22</v>
      </c>
    </row>
    <row r="58" spans="2:4">
      <c r="B58" s="1" t="s">
        <v>70</v>
      </c>
      <c r="C58" s="1">
        <v>3</v>
      </c>
      <c r="D58" t="s">
        <v>22</v>
      </c>
    </row>
    <row r="59" spans="2:4">
      <c r="B59" s="1" t="s">
        <v>71</v>
      </c>
      <c r="C59" s="1">
        <v>0</v>
      </c>
      <c r="D59" t="s">
        <v>10</v>
      </c>
    </row>
    <row r="60" spans="2:4">
      <c r="B60" s="1" t="s">
        <v>72</v>
      </c>
      <c r="C60" s="1">
        <v>0</v>
      </c>
      <c r="D60" t="s">
        <v>2</v>
      </c>
    </row>
    <row r="61" spans="2:4">
      <c r="B61" s="1" t="s">
        <v>73</v>
      </c>
      <c r="C61" s="1">
        <v>2</v>
      </c>
      <c r="D61" t="s">
        <v>3</v>
      </c>
    </row>
    <row r="62" spans="2:4">
      <c r="B62" s="1" t="s">
        <v>74</v>
      </c>
      <c r="C62" s="1">
        <v>2</v>
      </c>
      <c r="D62" t="s">
        <v>10</v>
      </c>
    </row>
    <row r="63" spans="2:4">
      <c r="B63" s="1" t="s">
        <v>75</v>
      </c>
      <c r="C63" s="1">
        <v>0</v>
      </c>
      <c r="D63" t="s">
        <v>22</v>
      </c>
    </row>
    <row r="64" spans="2:4">
      <c r="B64" s="1" t="s">
        <v>76</v>
      </c>
      <c r="C64" s="1">
        <v>0</v>
      </c>
      <c r="D64" t="s">
        <v>10</v>
      </c>
    </row>
    <row r="65" spans="2:8">
      <c r="B65" s="1" t="s">
        <v>77</v>
      </c>
      <c r="C65" s="1">
        <v>0</v>
      </c>
      <c r="D65" t="s">
        <v>10</v>
      </c>
    </row>
    <row r="66" spans="2:8">
      <c r="B66" s="1" t="s">
        <v>78</v>
      </c>
      <c r="C66" s="1">
        <v>0</v>
      </c>
      <c r="D66" t="s">
        <v>10</v>
      </c>
    </row>
    <row r="67" spans="2:8">
      <c r="B67" s="1" t="s">
        <v>79</v>
      </c>
      <c r="C67" s="1">
        <v>1</v>
      </c>
      <c r="D67" t="s">
        <v>10</v>
      </c>
    </row>
    <row r="68" spans="2:8">
      <c r="B68" s="1" t="s">
        <v>80</v>
      </c>
      <c r="C68" s="1">
        <v>0</v>
      </c>
      <c r="D68" t="s">
        <v>2</v>
      </c>
    </row>
    <row r="69" spans="2:8">
      <c r="B69" s="1" t="s">
        <v>81</v>
      </c>
      <c r="C69" s="1">
        <v>3</v>
      </c>
      <c r="D69" t="s">
        <v>22</v>
      </c>
    </row>
    <row r="70" spans="2:8">
      <c r="B70" s="1" t="s">
        <v>82</v>
      </c>
      <c r="C70" s="1">
        <v>0</v>
      </c>
      <c r="D70" t="s">
        <v>10</v>
      </c>
    </row>
    <row r="71" spans="2:8">
      <c r="B71" s="1" t="s">
        <v>83</v>
      </c>
      <c r="C71" s="1">
        <v>0</v>
      </c>
      <c r="D71" t="s">
        <v>10</v>
      </c>
    </row>
    <row r="72" spans="2:8">
      <c r="B72" s="1" t="s">
        <v>84</v>
      </c>
      <c r="C72" s="1">
        <v>0</v>
      </c>
      <c r="D72" t="s">
        <v>3</v>
      </c>
    </row>
    <row r="73" spans="2:8">
      <c r="B73" s="1" t="s">
        <v>85</v>
      </c>
      <c r="C73" s="1">
        <v>0</v>
      </c>
      <c r="D73" t="s">
        <v>10</v>
      </c>
    </row>
    <row r="74" spans="2:8">
      <c r="B74" s="1" t="s">
        <v>86</v>
      </c>
      <c r="C74" s="1">
        <v>0</v>
      </c>
      <c r="D74" t="s">
        <v>3</v>
      </c>
    </row>
    <row r="75" spans="2:8">
      <c r="B75" s="1" t="s">
        <v>87</v>
      </c>
      <c r="C75" s="1">
        <v>1</v>
      </c>
      <c r="D75" t="s">
        <v>22</v>
      </c>
      <c r="F75" t="s">
        <v>88</v>
      </c>
      <c r="G75" t="s">
        <v>89</v>
      </c>
      <c r="H75" t="s">
        <v>90</v>
      </c>
    </row>
    <row r="76" spans="2:8">
      <c r="B76" s="1" t="s">
        <v>91</v>
      </c>
      <c r="C76" s="1">
        <v>0</v>
      </c>
      <c r="D76" t="s">
        <v>10</v>
      </c>
    </row>
    <row r="77" spans="2:8">
      <c r="B77" s="1" t="s">
        <v>92</v>
      </c>
      <c r="C77" s="1">
        <v>0</v>
      </c>
      <c r="D77" t="s">
        <v>10</v>
      </c>
    </row>
    <row r="78" spans="2:8">
      <c r="B78" s="1" t="s">
        <v>93</v>
      </c>
      <c r="C78" s="1">
        <v>2</v>
      </c>
      <c r="D78" t="s">
        <v>3</v>
      </c>
    </row>
    <row r="79" spans="2:8">
      <c r="B79" s="1" t="s">
        <v>94</v>
      </c>
      <c r="C79" s="1">
        <v>2</v>
      </c>
      <c r="D79" t="s">
        <v>22</v>
      </c>
    </row>
    <row r="80" spans="2:8">
      <c r="B80" s="1" t="s">
        <v>95</v>
      </c>
      <c r="C80" s="1">
        <v>3</v>
      </c>
      <c r="D80" t="s">
        <v>10</v>
      </c>
    </row>
    <row r="81" spans="2:4">
      <c r="B81" s="1" t="s">
        <v>96</v>
      </c>
      <c r="C81" s="1">
        <v>0</v>
      </c>
      <c r="D81" t="s">
        <v>10</v>
      </c>
    </row>
    <row r="82" spans="2:4">
      <c r="B82" s="1" t="s">
        <v>97</v>
      </c>
      <c r="C82" s="1">
        <v>0</v>
      </c>
      <c r="D82" t="s">
        <v>3</v>
      </c>
    </row>
    <row r="83" spans="2:4">
      <c r="B83" s="1" t="s">
        <v>98</v>
      </c>
      <c r="C83" s="1">
        <v>0</v>
      </c>
      <c r="D83" t="s">
        <v>56</v>
      </c>
    </row>
    <row r="84" spans="2:4">
      <c r="B84" s="1" t="s">
        <v>99</v>
      </c>
      <c r="C84" s="1">
        <v>2</v>
      </c>
      <c r="D84" t="s">
        <v>22</v>
      </c>
    </row>
    <row r="85" spans="2:4">
      <c r="B85" s="1" t="s">
        <v>100</v>
      </c>
      <c r="C85" s="1">
        <v>1</v>
      </c>
      <c r="D85" t="s">
        <v>10</v>
      </c>
    </row>
    <row r="86" spans="2:4">
      <c r="B86" s="1" t="s">
        <v>101</v>
      </c>
      <c r="C86" s="1">
        <v>0</v>
      </c>
      <c r="D86" t="s">
        <v>22</v>
      </c>
    </row>
    <row r="87" spans="2:4">
      <c r="B87" s="1" t="s">
        <v>102</v>
      </c>
      <c r="C87" s="1">
        <v>0</v>
      </c>
      <c r="D87" t="s">
        <v>10</v>
      </c>
    </row>
    <row r="88" spans="2:4">
      <c r="B88" s="1" t="s">
        <v>103</v>
      </c>
      <c r="C88" s="1">
        <v>0</v>
      </c>
      <c r="D88" t="s">
        <v>2</v>
      </c>
    </row>
    <row r="89" spans="2:4">
      <c r="B89" s="1" t="s">
        <v>104</v>
      </c>
      <c r="C89" s="1">
        <v>1</v>
      </c>
      <c r="D89" t="s">
        <v>3</v>
      </c>
    </row>
    <row r="90" spans="2:4">
      <c r="B90" s="1" t="s">
        <v>105</v>
      </c>
      <c r="C90" s="1">
        <v>2</v>
      </c>
      <c r="D90" t="s">
        <v>2</v>
      </c>
    </row>
    <row r="91" spans="2:4">
      <c r="B91" s="1" t="s">
        <v>106</v>
      </c>
      <c r="C91" s="1">
        <v>0</v>
      </c>
      <c r="D91" t="s">
        <v>22</v>
      </c>
    </row>
    <row r="92" spans="2:4">
      <c r="B92" s="1" t="s">
        <v>107</v>
      </c>
      <c r="C92" s="1">
        <v>3</v>
      </c>
      <c r="D92" t="s">
        <v>22</v>
      </c>
    </row>
    <row r="93" spans="2:4">
      <c r="B93" s="1" t="s">
        <v>108</v>
      </c>
      <c r="C93" s="1">
        <v>2</v>
      </c>
      <c r="D93" t="s">
        <v>22</v>
      </c>
    </row>
    <row r="94" spans="2:4">
      <c r="B94" s="1" t="s">
        <v>109</v>
      </c>
      <c r="C94" s="1">
        <v>1</v>
      </c>
      <c r="D94" t="s">
        <v>3</v>
      </c>
    </row>
    <row r="95" spans="2:4">
      <c r="B95" s="1" t="s">
        <v>110</v>
      </c>
      <c r="C95" s="1">
        <v>4</v>
      </c>
      <c r="D95" t="s">
        <v>2</v>
      </c>
    </row>
    <row r="96" spans="2:4">
      <c r="B96" s="1" t="s">
        <v>111</v>
      </c>
      <c r="C96" s="1">
        <v>3</v>
      </c>
      <c r="D96" t="s">
        <v>22</v>
      </c>
    </row>
    <row r="97" spans="2:4">
      <c r="B97" s="1" t="s">
        <v>112</v>
      </c>
      <c r="C97" s="1">
        <v>1</v>
      </c>
      <c r="D97" t="s">
        <v>3</v>
      </c>
    </row>
    <row r="98" spans="2:4">
      <c r="B98" s="1" t="s">
        <v>113</v>
      </c>
      <c r="C98" s="1">
        <v>0</v>
      </c>
      <c r="D98" t="s">
        <v>3</v>
      </c>
    </row>
    <row r="99" spans="2:4">
      <c r="B99" s="1" t="s">
        <v>114</v>
      </c>
      <c r="C99" s="1">
        <v>0</v>
      </c>
      <c r="D99" t="s">
        <v>10</v>
      </c>
    </row>
    <row r="100" spans="2:4">
      <c r="B100" s="1" t="s">
        <v>115</v>
      </c>
      <c r="C100" s="1">
        <v>2</v>
      </c>
      <c r="D100" t="s">
        <v>10</v>
      </c>
    </row>
    <row r="101" spans="2:4">
      <c r="B101" s="1" t="s">
        <v>116</v>
      </c>
      <c r="C101" s="1">
        <v>0</v>
      </c>
      <c r="D101" t="s">
        <v>22</v>
      </c>
    </row>
    <row r="102" spans="2:4">
      <c r="B102" s="1" t="s">
        <v>117</v>
      </c>
      <c r="C102" s="1">
        <v>0</v>
      </c>
      <c r="D102" t="s">
        <v>22</v>
      </c>
    </row>
    <row r="103" spans="2:4">
      <c r="B103" s="2" t="s">
        <v>118</v>
      </c>
      <c r="C103" s="2">
        <v>3</v>
      </c>
      <c r="D103" t="s">
        <v>10</v>
      </c>
    </row>
    <row r="104" spans="2:4">
      <c r="B104" s="1" t="s">
        <v>119</v>
      </c>
      <c r="C104" s="1">
        <v>0</v>
      </c>
      <c r="D104" t="s">
        <v>22</v>
      </c>
    </row>
    <row r="105" spans="2:4">
      <c r="B105" s="1" t="s">
        <v>120</v>
      </c>
      <c r="C105" s="1">
        <v>0</v>
      </c>
      <c r="D105" t="s">
        <v>10</v>
      </c>
    </row>
    <row r="106" spans="2:4">
      <c r="B106" s="3" t="s">
        <v>121</v>
      </c>
      <c r="C106" s="1">
        <v>0</v>
      </c>
      <c r="D106" t="s">
        <v>22</v>
      </c>
    </row>
    <row r="107" spans="2:4">
      <c r="B107" s="3" t="s">
        <v>122</v>
      </c>
      <c r="C107" s="1">
        <v>0</v>
      </c>
      <c r="D107" t="s">
        <v>10</v>
      </c>
    </row>
    <row r="108" spans="2:4">
      <c r="B108" s="3" t="s">
        <v>123</v>
      </c>
      <c r="C108" s="1">
        <v>0</v>
      </c>
      <c r="D10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Grant, Jahshaun</cp:lastModifiedBy>
  <cp:revision/>
  <dcterms:created xsi:type="dcterms:W3CDTF">2026-03-03T00:41:22Z</dcterms:created>
  <dcterms:modified xsi:type="dcterms:W3CDTF">2026-03-03T20:41:57Z</dcterms:modified>
  <cp:category/>
  <cp:contentStatus/>
</cp:coreProperties>
</file>